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UI指路总表" sheetId="1" state="visible" r:id="rId1"/>
    <sheet xmlns:r="http://schemas.openxmlformats.org/officeDocument/2006/relationships" name="Sheet2_Prefab说明" sheetId="2" state="visible" r:id="rId2"/>
    <sheet xmlns:r="http://schemas.openxmlformats.org/officeDocument/2006/relationships" name="Sheet3_CDN配置" sheetId="3" state="visible" r:id="rId3"/>
    <sheet xmlns:r="http://schemas.openxmlformats.org/officeDocument/2006/relationships" name="Sheet4_需要注册的图片" sheetId="4" state="visible" r:id="rId4"/>
  </sheets>
  <definedNames>
    <definedName name="_xlnm._FilterDatabase" localSheetId="1" hidden="1">'Sheet2_Prefab说明'!$A$1:$C$22</definedName>
    <definedName name="_xlnm._FilterDatabase" localSheetId="2" hidden="1">'Sheet3_CDN配置'!$A$2:$D$15</definedName>
    <definedName name="_xlnm._FilterDatabase" localSheetId="3" hidden="1">'Sheet4_需要注册的图片'!$A$1:$C$2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1"/>
    </font>
    <font>
      <name val="微软雅黑"/>
      <sz val="11"/>
    </font>
    <font>
      <name val="微软雅黑"/>
      <b val="1"/>
      <color rgb="00C00000"/>
      <sz val="11"/>
    </font>
    <font>
      <name val="微软雅黑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34" customHeight="1"/>
  <cols>
    <col width="16" customWidth="1" min="1" max="1"/>
    <col width="60" customWidth="1" min="2" max="2"/>
  </cols>
  <sheetData>
    <row r="1" ht="34" customHeight="1">
      <c r="A1" s="1" t="inlineStr">
        <is>
          <t>功能名称</t>
        </is>
      </c>
      <c r="B1" s="2" t="inlineStr">
        <is>
          <t>手办系统最终</t>
        </is>
      </c>
    </row>
    <row r="2" ht="34" customHeight="1">
      <c r="A2" s="3" t="inlineStr">
        <is>
          <t>设计人</t>
        </is>
      </c>
      <c r="B2" s="4" t="inlineStr">
        <is>
          <t>待补充</t>
        </is>
      </c>
    </row>
    <row r="3" ht="34" customHeight="1">
      <c r="A3" s="3" t="inlineStr">
        <is>
          <t>制作人</t>
        </is>
      </c>
      <c r="B3" s="4" t="inlineStr">
        <is>
          <t>待补充</t>
        </is>
      </c>
    </row>
    <row r="4" ht="34" customHeight="1">
      <c r="A4" s="3" t="inlineStr">
        <is>
          <t>策划</t>
        </is>
      </c>
      <c r="B4" s="4" t="inlineStr">
        <is>
          <t>待补充</t>
        </is>
      </c>
    </row>
    <row r="5" ht="34" customHeight="1">
      <c r="A5" s="3" t="inlineStr">
        <is>
          <t>UE</t>
        </is>
      </c>
      <c r="B5" s="4" t="inlineStr">
        <is>
          <t>待补充</t>
        </is>
      </c>
    </row>
    <row r="6" ht="34" customHeight="1">
      <c r="A6" s="3" t="inlineStr">
        <is>
          <t>程序</t>
        </is>
      </c>
      <c r="B6" s="4" t="inlineStr">
        <is>
          <t>待补充</t>
        </is>
      </c>
    </row>
    <row r="7" ht="34" customHeight="1">
      <c r="A7" s="5" t="inlineStr">
        <is>
          <t>Jira链接</t>
        </is>
      </c>
      <c r="B7" s="6" t="inlineStr">
        <is>
          <t>待补充</t>
        </is>
      </c>
    </row>
    <row r="8" ht="34" customHeight="1">
      <c r="A8" s="5" t="inlineStr">
        <is>
          <t>Wiki链接</t>
        </is>
      </c>
      <c r="B8" s="6" t="inlineStr">
        <is>
          <t>待补充</t>
        </is>
      </c>
    </row>
    <row r="9" ht="34" customHeight="1">
      <c r="A9" s="5" t="inlineStr">
        <is>
          <t>图集名称</t>
        </is>
      </c>
      <c r="B9" s="6" t="inlineStr">
        <is>
          <t>待补充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48" customHeight="1"/>
  <cols>
    <col width="30" customWidth="1" min="1" max="1"/>
    <col width="24" customWidth="1" min="2" max="2"/>
    <col width="82" customWidth="1" min="3" max="3"/>
  </cols>
  <sheetData>
    <row r="1" ht="48" customHeight="1">
      <c r="A1" s="7" t="inlineStr">
        <is>
          <t>Prefab名称</t>
        </is>
      </c>
      <c r="B1" s="7" t="inlineStr">
        <is>
          <t>位置</t>
        </is>
      </c>
      <c r="C1" s="7" t="inlineStr">
        <is>
          <t>Prefab详细说明</t>
        </is>
      </c>
    </row>
    <row r="2" ht="48" customHeight="1">
      <c r="A2" s="8" t="inlineStr">
        <is>
          <t>UIGKCollectionRoom</t>
        </is>
      </c>
      <c r="B2" s="9" t="inlineStr">
        <is>
          <t>收藏室主页</t>
        </is>
      </c>
      <c r="C2" s="9" t="inlineStr">
        <is>
          <t>收藏室主界面 prefab，包含 15 个展示位、顶栏、编辑模式以及 Add/Remove/Exchange 相关操作。逻辑节点包括 EditBtn、SaveBtn、QuitBtn、ResetBtn、EditMode、LeftCollectionRoot、ModelIconEastList、ActivityPopMenuTrans/SortPopMenuTrans、ModelNumTrans/SelectModelLabel、GiftBtn/ExchangeBtn/EmoteBtn/PreviewModelBtn、ValueCntLabel/ProgressCntLabel/ActivityLabel、ERankBtn/ShareBtn/FriendListBtn。筛选/排序弹出菜单挂载 UIPopMenuSmall，底部选中手办编号显示挂到 ModelNumTrans 的 UIGKModelNum。</t>
        </is>
      </c>
    </row>
    <row r="3" ht="48" customHeight="1">
      <c r="A3" s="8" t="inlineStr">
        <is>
          <t>UIGKModelSlot</t>
        </is>
      </c>
      <c r="B3" s="9" t="inlineStr">
        <is>
          <t>手办柜单格 / 展示柜格子</t>
        </is>
      </c>
      <c r="C3" s="9" t="inlineStr">
        <is>
          <t>单个展示柜格子 prefab，用于 3D 模型挂点和增删换按钮状态机。大小通过根节点 scale 区分，需要同步大柜子 scale。关键逻辑节点包括 MainBtn 以及 AddBtn/ExchangeBtn/RemoveBtn；MainBtn 负责选中、放置、换位路由，相关 surfaceMain 节点需挂 BoxCollider 作为拖拽落点保障，按钮显隐通过 RefreshButtons 联动。</t>
        </is>
      </c>
    </row>
    <row r="4" ht="48" customHeight="1">
      <c r="A4" s="8" t="inlineStr">
        <is>
          <t>UIGKModelIconItem</t>
        </is>
      </c>
      <c r="B4" s="9" t="inlineStr">
        <is>
          <t>背包 / 列表格子 / 背包单项</t>
        </is>
      </c>
      <c r="C4" s="9" t="inlineStr">
        <is>
          <t>手办 Icon 项 prefab，用于背包或列表单格展示。包含 ItemBtn、DragItem+DragItemIcon、itemSprite/ItemIconView2、HL、Quality/QualityBG、Cnt、SpecialNumTrans 等节点。支持选中/取消选中、运行时拖拽克隆、稀有度框显示、数量显示以及编号挂点；SpecialNumTrans 挂 UIGKModelNum，Number 大于 0 时显示。</t>
        </is>
      </c>
    </row>
    <row r="5" ht="48" customHeight="1">
      <c r="A5" s="8" t="inlineStr">
        <is>
          <t>UIGKModelNum</t>
        </is>
      </c>
      <c r="B5" s="9" t="inlineStr">
        <is>
          <t>手办编号显示组件 / 编号锚点</t>
        </is>
      </c>
      <c r="C5" s="9" t="inlineStr">
        <is>
          <t>手办编号显示组件，其他 prefab 的 numTrans 节点需要生成并挂载此 prefab。包含 Num/NumBG 文本、UIGKModelNum 面板以及 DetailTipsCamera。编号带独立相机渲染，重新导出时不能丢失；主要用于底部选中手办信息、背包单项编号和汇总弹窗编号显示。</t>
        </is>
      </c>
    </row>
    <row r="6" ht="48" customHeight="1">
      <c r="A6" s="8" t="inlineStr">
        <is>
          <t>UIGKCatalogPopup</t>
        </is>
      </c>
      <c r="B6" s="9" t="inlineStr">
        <is>
          <t>图鉴弹窗</t>
        </is>
      </c>
      <c r="C6" s="9" t="inlineStr">
        <is>
          <t>图鉴弹窗 prefab。主体节点包括 TabsContainer、GKModelTable、GKCatalogScrollView、ActivityLabel、CloseBtn。GKModelTable 用于混排 section title 和 catalog item，GKCatalogScrollView 为图鉴滚动区域，CloseBtn 用于关闭图鉴；ActivityLabel 当前导出但 controller 未实际设置。</t>
        </is>
      </c>
    </row>
    <row r="7" ht="48" customHeight="1">
      <c r="A7" s="8" t="inlineStr">
        <is>
          <t>UIGKCatalogItem</t>
        </is>
      </c>
      <c r="B7" s="9" t="inlineStr">
        <is>
          <t>图鉴网格单格 / 图鉴单项</t>
        </is>
      </c>
      <c r="C7" s="9" t="inlineStr">
        <is>
          <t>图鉴单项 prefab，用于图鉴网格中的单格展示。主要节点包括 ItemIcon、QualityBG、Locked。ItemIcon 根据 IconResId 解析图标，未解锁时置灰；QualityBG 控制稀有度着色，Locked 用于未解锁遮罩并受 IsUnlocked 控制。</t>
        </is>
      </c>
    </row>
    <row r="8" ht="48" customHeight="1">
      <c r="A8" s="8" t="inlineStr">
        <is>
          <t>UIGKCatalogSectionTitle</t>
        </is>
      </c>
      <c r="B8" s="9" t="inlineStr">
        <is>
          <t>图鉴品质标题</t>
        </is>
      </c>
      <c r="C8" s="9" t="inlineStr">
        <is>
          <t>图鉴品质分段标题 prefab，用于图鉴列表中不同品质区块的标题展示。PDF 中未给出更多节点拆分，当前可确认其用途为图鉴分组标题显示。</t>
        </is>
      </c>
    </row>
    <row r="9" ht="48" customHeight="1">
      <c r="A9" s="8" t="inlineStr">
        <is>
          <t>UIGKCatalogTab</t>
        </is>
      </c>
      <c r="B9" s="9" t="inlineStr">
        <is>
          <t>图鉴系列 Tab 容器</t>
        </is>
      </c>
      <c r="C9" s="9" t="inlineStr">
        <is>
          <t>图鉴系列 Tab 容器 prefab，用于承载图鉴系列切页项。PDF 中未给出额外节点说明，当前可确认其职责为系列 Tab 的容器与布局承载。</t>
        </is>
      </c>
    </row>
    <row r="10" ht="48" customHeight="1">
      <c r="A10" s="8" t="inlineStr">
        <is>
          <t>UIGKCatalogTabItem</t>
        </is>
      </c>
      <c r="B10" s="9" t="inlineStr">
        <is>
          <t>图鉴系列 Tab 单项</t>
        </is>
      </c>
      <c r="C10" s="9" t="inlineStr">
        <is>
          <t>图鉴系列 Tab 单项 prefab。PDF 提取文本中显示为 UIGKCatalogTabtem，结合语义按 TabItem 归一。当前可确认其用于图鉴系列切页的单个 Tab 项展示与交互。</t>
        </is>
      </c>
    </row>
    <row r="11" ht="48" customHeight="1">
      <c r="A11" s="8" t="inlineStr">
        <is>
          <t>UIGKCollectionNewGainPopWindow</t>
        </is>
      </c>
      <c r="B11" s="9" t="inlineStr">
        <is>
          <t>新获得手办弹窗（掉落 / 解锁提示）</t>
        </is>
      </c>
      <c r="C11" s="9" t="inlineStr">
        <is>
          <t>新获得手办的拍脸弹窗 prefab。关键内容节点包括 ModelSprite、GKModelName、SourceTimeAndMapLabel、NumTrans，分别用于显示手办图、名称、带出时间与地图、编号锚点。数据依赖 OB56 带出的结算协议。</t>
        </is>
      </c>
    </row>
    <row r="12" ht="48" customHeight="1">
      <c r="A12" s="8" t="inlineStr">
        <is>
          <t>UIGKCollectionNewGainAllPopWindow</t>
        </is>
      </c>
      <c r="B12" s="9" t="inlineStr">
        <is>
          <t>汇总弹窗</t>
        </is>
      </c>
      <c r="C12" s="9" t="inlineStr">
        <is>
          <t>手办获取汇总弹窗 prefab。PDF 中当前仅明确为汇总弹窗容器，详细节点拆解未单独列出；通常与 UIGKNewGainItem 配合显示批量获取结果。</t>
        </is>
      </c>
    </row>
    <row r="13" ht="48" customHeight="1">
      <c r="A13" s="8" t="inlineStr">
        <is>
          <t>UIGKNewGainItem</t>
        </is>
      </c>
      <c r="B13" s="9" t="inlineStr">
        <is>
          <t>汇总弹窗 Item</t>
        </is>
      </c>
      <c r="C13" s="9" t="inlineStr">
        <is>
          <t>汇总弹窗中的单个 Item prefab。当前作用节点包括 ItemButton、SpecialNumTrans、FirstTag、QualityLine、QualityBG、itemSprite、ValueLabel。支持点击打开图鉴 tips、编号显示、首次获得标记以及品质/图标/收藏值展示。</t>
        </is>
      </c>
    </row>
    <row r="14" ht="48" customHeight="1">
      <c r="A14" s="8" t="inlineStr">
        <is>
          <t>UIGKCollectionGKCatalogTipsBox</t>
        </is>
      </c>
      <c r="B14" s="9" t="inlineStr">
        <is>
          <t>大厅图鉴解锁提示</t>
        </is>
      </c>
      <c r="C14" s="9" t="inlineStr">
        <is>
          <t>大厅图鉴解锁相关 tips/popup prefab。PDF 中仅明确名称与用途为大厅图鉴解锁提示，未给出进一步节点说明。</t>
        </is>
      </c>
    </row>
    <row r="15" ht="48" customHeight="1">
      <c r="A15" s="8" t="inlineStr">
        <is>
          <t>UILobbyV2GameAssistNewGKNoticeItem</t>
        </is>
      </c>
      <c r="B15" s="9" t="inlineStr">
        <is>
          <t>小助手提示 Item</t>
        </is>
      </c>
      <c r="C15" s="9" t="inlineStr">
        <is>
          <t>大厅小助手中的手办提示 Item prefab。PDF 中仅明确其为小助手提示项，适用于相关引导或新内容提示展示。</t>
        </is>
      </c>
    </row>
    <row r="16" ht="48" customHeight="1">
      <c r="A16" s="8" t="inlineStr">
        <is>
          <t>UIGKCatalogItemTips</t>
        </is>
      </c>
      <c r="B16" s="9" t="inlineStr">
        <is>
          <t>Item 点击 tips</t>
        </is>
      </c>
      <c r="C16" s="9" t="inlineStr">
        <is>
          <t>图鉴 item 点击后展开的 tips prefab。关键节点包括 MaskBtn、ContentTable、SmallItemTrans、FirstGainLabel、TimeLabel、MapAndPoiLabel、TeammateGrid。支持点击遮罩关闭、tips 内容重排、小手办 icon 子 controller 挂点、获得信息区域整体显隐、首次获得时间、地图/地点与队友来源展示。</t>
        </is>
      </c>
    </row>
    <row r="17" ht="48" customHeight="1">
      <c r="A17" s="8" t="inlineStr">
        <is>
          <t>UIGKCatalogTipsTeammate</t>
        </is>
      </c>
      <c r="B17" s="9" t="inlineStr">
        <is>
          <t>tips 里的队友条目</t>
        </is>
      </c>
      <c r="C17" s="9" t="inlineStr">
        <is>
          <t>图鉴 tips 内的队友来源条目 prefab，用于展示局内获得队友列表，或赠礼 / 交换来源玩家信息。PDF 未进一步拆解节点。</t>
        </is>
      </c>
    </row>
    <row r="18" ht="48" customHeight="1">
      <c r="A18" s="8" t="inlineStr">
        <is>
          <t>BaseHeadTrans</t>
        </is>
      </c>
      <c r="B18" s="9" t="inlineStr">
        <is>
          <t>挂载 UIBaseHead</t>
        </is>
      </c>
      <c r="C18" s="9" t="inlineStr">
        <is>
          <t>头像挂点节点，用于挂载 UIBaseHead。PDF 将其列为 prefab 相关项，但更像是约定挂点或基础头部容器，通常与队友或来源展示配合。</t>
        </is>
      </c>
    </row>
    <row r="19" ht="48" customHeight="1">
      <c r="A19" s="8" t="inlineStr">
        <is>
          <t>UIGKSmallItem</t>
        </is>
      </c>
      <c r="B19" s="9" t="inlineStr">
        <is>
          <t>小助手 / tips 里的小尺寸 item</t>
        </is>
      </c>
      <c r="C19" s="9" t="inlineStr">
        <is>
          <t>小尺寸手办 item prefab，供小助手和 tips 内部复用。适合在信息密度较高的提示区域展示缩略手办信息。</t>
        </is>
      </c>
    </row>
    <row r="20" ht="48" customHeight="1">
      <c r="A20" s="8" t="inlineStr">
        <is>
          <t>UIGKEmoteUnLockPopWindow</t>
        </is>
      </c>
      <c r="B20" s="9" t="inlineStr">
        <is>
          <t>Emote 获取弹窗</t>
        </is>
      </c>
      <c r="C20" s="9" t="inlineStr">
        <is>
          <t>Emote 解锁 / 获取弹窗 prefab。PDF 中仅明确用途为 Emote 获取提示，未列出更多节点结构。</t>
        </is>
      </c>
    </row>
    <row r="21" ht="48" customHeight="1">
      <c r="A21" s="8" t="inlineStr">
        <is>
          <t>UIGKEmoteChoose</t>
        </is>
      </c>
      <c r="B21" s="9" t="inlineStr">
        <is>
          <t>手办展示界面内 item 复用</t>
        </is>
      </c>
      <c r="C21" s="9" t="inlineStr">
        <is>
          <t>手办展示界面中的选择项 prefab，内部 item 复用 UIGKModelIconItem。用于在手办展示或 Emote 相关界面中复用同套 icon 交互展示。</t>
        </is>
      </c>
    </row>
    <row r="22" ht="48" customHeight="1">
      <c r="A22" s="8" t="inlineStr">
        <is>
          <t>UINewVault</t>
        </is>
      </c>
      <c r="B22" s="9" t="inlineStr">
        <is>
          <t>新增更换 GK 按钮</t>
        </is>
      </c>
      <c r="C22" s="9" t="inlineStr">
        <is>
          <t>新增更换 GK 按钮相关 prefab，PDF 中关联文案为 ChangeGKBtn。当前可确认其职责为更换 GK 的入口按钮或容器。</t>
        </is>
      </c>
    </row>
  </sheetData>
  <autoFilter ref="A1:C22"/>
  <pageMargins left="0.75" right="0.75" top="1" bottom="1" header="0.5" footer="0.5"/>
</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D15"/>
  <ns0:sheetViews>
    <ns0:sheetView showGridLines="1" workbookViewId="0">
      <ns0:pane ySplit="3" topLeftCell="A4" activePane="bottomLeft" state="frozen"/>
      <ns0:selection pane="bottomLeft" activeCell="A1" sqref="A1"/>
    </ns0:sheetView>
  </ns0:sheetViews>
  <ns0:sheetFormatPr baseColWidth="8" defaultRowHeight="72" customHeight="1"/>
  <ns0:cols>
    <ns0:col width="20" customWidth="1" min="1" max="1"/>
    <ns0:col width="28" customWidth="1" min="2" max="2"/>
    <ns0:col width="28" customWidth="1" min="3" max="3"/>
    <ns0:col width="62" customWidth="1" min="4" max="4"/>
  </ns0:cols>
  <ns0:sheetData>
    <ns0:row r="1" ht="34" customHeight="1">
      <ns0:c r="A1" s="10" t="inlineStr">
        <ns0:is>
          <ns0:t>如同位置cdn需要增加一张，命名在后缀编号01、02、03.....即可</ns0:t>
        </ns0:is>
      </ns0:c>
    </ns0:row>
    <ns0:row r="2" ht="72" customHeight="1">
      <ns0:c r="A2" s="7" t="inlineStr">
        <ns0:is>
          <ns0:t>图片类目</ns0:t>
        </ns0:is>
      </ns0:c>
      <ns0:c r="B2" s="7" t="inlineStr">
        <ns0:is>
          <ns0:t>CDN位置描述</ns0:t>
        </ns0:is>
      </ns0:c>
      <ns0:c r="C2" s="7" t="inlineStr">
        <ns0:is>
          <ns0:t>配置名称</ns0:t>
        </ns0:is>
      </ns0:c>
      <ns0:c r="D2" s="7" t="inlineStr">
        <ns0:is>
          <ns0:t>CDN路径</ns0:t>
        </ns0:is>
      </ns0:c>
    </ns0:row>
    <ns0:row r="3" ht="72" customHeight="1">
      <ns0:c r="A3" s="8" t="inlineStr"/>
      <ns0:c r="B3" s="8" t="inlineStr"/>
      <ns0:c r="C3" s="11" t="inlineStr">
        <ns0:is>
          <ns0:t>关键词</ns0:t>
        </ns0:is>
      </ns0:c>
      <ns0:c r="D3" s="12" t="inlineStr">
        <ns0:is>
          <ns0:t>← 更换此处文本下方前缀将统一修改</ns0:t>
        </ns0:is>
      </ns0:c>
    </ns0:row>
    <ns0:row r="4" ht="72" customHeight="1">
      <ns0:c r="A4" s="8" t="inlineStr">
        <ns0:is>
          <ns0:t>背景</ns0:t>
        </ns0:is>
      </ns0:c>
      <ns0:c r="B4" s="9" t="inlineStr">
        <ns0:is>
          <ns0:t>主界面背景</ns0:t>
        </ns0:is>
      </ns0:c>
      <ns0:c r="C4" s="9" t="str">
        <ns0:f>$C$3&amp;"_ContentMainBG"</ns0:f>
        <ns0:v>关键词_ContentMainBG</ns0:v>
      </ns0:c>
      <ns0:c r="D4" s="9" t="inlineStr">
        <ns0:is>
          <ns0:t>待补充</ns0:t>
        </ns0:is>
      </ns0:c>
    </ns0:row>
    <ns0:row r="5" ht="72" customHeight="1">
      <ns0:c r="A5" s="8" t="inlineStr">
        <ns0:is>
          <ns0:t>背景</ns0:t>
        </ns0:is>
      </ns0:c>
      <ns0:c r="B5" s="9" t="inlineStr">
        <ns0:is>
          <ns0:t>主界面底图</ns0:t>
        </ns0:is>
      </ns0:c>
      <ns0:c r="C5" s="9" t="str">
        <ns0:f>$C$3&amp;"_ContentAwardBG"</ns0:f>
        <ns0:v>关键词_ContentAwardBG</ns0:v>
      </ns0:c>
      <ns0:c r="D5" s="9" t="inlineStr">
        <ns0:is>
          <ns0:t>待补充</ns0:t>
        </ns0:is>
      </ns0:c>
    </ns0:row>
    <ns0:row r="6" ht="72" customHeight="1">
      <ns0:c r="A6" s="8" t="inlineStr">
        <ns0:is>
          <ns0:t>标题</ns0:t>
        </ns0:is>
      </ns0:c>
      <ns0:c r="B6" s="9" t="inlineStr">
        <ns0:is>
          <ns0:t>主界面标题（需psd）</ns0:t>
        </ns0:is>
      </ns0:c>
      <ns0:c r="C6" s="9" t="str">
        <ns0:f>$C$3&amp;"_ContentTitle"</ns0:f>
        <ns0:v>关键词_ContentTitle</ns0:v>
      </ns0:c>
      <ns0:c r="D6" s="9" t="inlineStr">
        <ns0:is>
          <ns0:t>待补充</ns0:t>
        </ns0:is>
      </ns0:c>
    </ns0:row>
    <ns0:row r="7" ht="72" customHeight="1">
      <ns0:c r="A7" s="8" t="inlineStr">
        <ns0:is>
          <ns0:t>背景</ns0:t>
        </ns0:is>
      </ns0:c>
      <ns0:c r="B7" s="9" t="inlineStr">
        <ns0:is>
          <ns0:t>二次确认弹窗背景</ns0:t>
        </ns0:is>
      </ns0:c>
      <ns0:c r="C7" s="9" t="str">
        <ns0:f>$C$3&amp;"_ConfirmBG"</ns0:f>
        <ns0:v>关键词_ConfirmBG</ns0:v>
      </ns0:c>
      <ns0:c r="D7" s="9" t="inlineStr">
        <ns0:is>
          <ns0:t>待补充</ns0:t>
        </ns0:is>
      </ns0:c>
    </ns0:row>
    <ns0:row r="8" ht="72" customHeight="1">
      <ns0:c r="A8" s="8" t="inlineStr">
        <ns0:is>
          <ns0:t>背景</ns0:t>
        </ns0:is>
      </ns0:c>
      <ns0:c r="B8" s="9" t="inlineStr">
        <ns0:is>
          <ns0:t>获得奖励背景</ns0:t>
        </ns0:is>
      </ns0:c>
      <ns0:c r="C8" s="9" t="str">
        <ns0:f>$C$3&amp;"_RewardBG"</ns0:f>
        <ns0:v>关键词_RewardBG</ns0:v>
      </ns0:c>
      <ns0:c r="D8" s="9" t="inlineStr">
        <ns0:is>
          <ns0:t>待补充</ns0:t>
        </ns0:is>
      </ns0:c>
    </ns0:row>
    <ns0:row r="9" ht="72" customHeight="1">
      <ns0:c r="A9" s="8" t="inlineStr">
        <ns0:is>
          <ns0:t>标题</ns0:t>
        </ns0:is>
      </ns0:c>
      <ns0:c r="B9" s="9" t="inlineStr">
        <ns0:is>
          <ns0:t>获得奖励标题（需psd）</ns0:t>
        </ns0:is>
      </ns0:c>
      <ns0:c r="C9" s="9" t="str">
        <ns0:f>$C$3&amp;"_RewardTitle"</ns0:f>
        <ns0:v>关键词_RewardTitle</ns0:v>
      </ns0:c>
      <ns0:c r="D9" s="9" t="inlineStr">
        <ns0:is>
          <ns0:t>待补充</ns0:t>
        </ns0:is>
      </ns0:c>
    </ns0:row>
    <ns0:row r="10" ht="72" customHeight="1">
      <ns0:c r="A10" s="8" t="inlineStr">
        <ns0:is>
          <ns0:t>背景</ns0:t>
        </ns0:is>
      </ns0:c>
      <ns0:c r="B10" s="9" t="inlineStr">
        <ns0:is>
          <ns0:t>大奖展示定制背景</ns0:t>
        </ns0:is>
      </ns0:c>
      <ns0:c r="C10" s="9" t="str">
        <ns0:f>$C$3&amp;"_CompleteBG"</ns0:f>
        <ns0:v>关键词_CompleteBG</ns0:v>
      </ns0:c>
      <ns0:c r="D10" s="9" t="inlineStr">
        <ns0:is>
          <ns0:t>待补充</ns0:t>
        </ns0:is>
      </ns0:c>
    </ns0:row>
    <ns0:row r="11" ht="72" customHeight="1">
      <ns0:c r="A11" s="8" t="inlineStr">
        <ns0:is>
          <ns0:t>背景</ns0:t>
        </ns0:is>
      </ns0:c>
      <ns0:c r="B11" s="9" t="inlineStr">
        <ns0:is>
          <ns0:t>弹窗背景</ns0:t>
        </ns0:is>
      </ns0:c>
      <ns0:c r="C11" s="9" t="str">
        <ns0:f>$C$3&amp;"_WndBG_Big/Small"</ns0:f>
        <ns0:v>关键词_WndBG_Big/Small</ns0:v>
      </ns0:c>
      <ns0:c r="D11" s="9" t="inlineStr">
        <ns0:is>
          <ns0:t>待补充</ns0:t>
        </ns0:is>
      </ns0:c>
    </ns0:row>
    <ns0:row r="12" ht="72" customHeight="1">
      <ns0:c r="A12" s="8" t="inlineStr">
        <ns0:is>
          <ns0:t>分享</ns0:t>
        </ns0:is>
      </ns0:c>
      <ns0:c r="B12" s="9" t="inlineStr">
        <ns0:is>
          <ns0:t>大奖分享</ns0:t>
        </ns0:is>
      </ns0:c>
      <ns0:c r="C12" s="9" t="str">
        <ns0:f>$C$3&amp;"_Share"</ns0:f>
        <ns0:v>关键词_Share</ns0:v>
      </ns0:c>
      <ns0:c r="D12" s="9" t="inlineStr">
        <ns0:is>
          <ns0:t>待补充</ns0:t>
        </ns0:is>
      </ns0:c>
    </ns0:row>
    <ns0:row r="13" ht="72" customHeight="1">
      <ns0:c r="A13" s="8" t="inlineStr">
        <ns0:is>
          <ns0:t>页签</ns0:t>
        </ns0:is>
      </ns0:c>
      <ns0:c r="B13" s="9" t="inlineStr">
        <ns0:is>
          <ns0:t>系统tab（需psd）</ns0:t>
        </ns0:is>
      </ns0:c>
      <ns0:c r="C13" s="9" t="str">
        <ns0:f>$C$3&amp;"_Tab"</ns0:f>
        <ns0:v>关键词_Tab</ns0:v>
      </ns0:c>
      <ns0:c r="D13" s="9" t="inlineStr">
        <ns0:is>
          <ns0:t>待补充</ns0:t>
        </ns0:is>
      </ns0:c>
    </ns0:row>
    <ns0:row r="14" ht="72" customHeight="1">
      <ns0:c r="A14" s="8" t="inlineStr">
        <ns0:is>
          <ns0:t>入口</ns0:t>
        </ns0:is>
      </ns0:c>
      <ns0:c r="B14" s="9" t="inlineStr">
        <ns0:is>
          <ns0:t>大厅入口</ns0:t>
        </ns0:is>
      </ns0:c>
      <ns0:c r="C14" s="9" t="str">
        <ns0:f>$C$3&amp;"_Entrance"</ns0:f>
        <ns0:v>关键词_Entrance</ns0:v>
      </ns0:c>
      <ns0:c r="D14" s="9" t="inlineStr">
        <ns0:is>
          <ns0:t>待补充</ns0:t>
        </ns0:is>
      </ns0:c>
    </ns0:row>
    <ns0:row r="15" ht="72" customHeight="1">
      <ns0:c r="A15" s="8" t="inlineStr">
        <ns0:is>
          <ns0:t>入口</ns0:t>
        </ns0:is>
      </ns0:c>
      <ns0:c r="B15" s="9" t="inlineStr">
        <ns0:is>
          <ns0:t>大厅入口tips（需psd）</ns0:t>
        </ns0:is>
      </ns0:c>
      <ns0:c r="C15" s="9" t="str">
        <ns0:f>$C$3&amp;"_EntranceTips"</ns0:f>
        <ns0:v>关键词_EntranceTips</ns0:v>
      </ns0:c>
      <ns0:c r="D15" s="9" t="inlineStr">
        <ns0:is>
          <ns0:t>待补充</ns0:t>
        </ns0:is>
      </ns0:c>
    </ns0:row>
  </ns0:sheetData>
  <ns0:autoFilter ref="A2:D15"/>
  <ns0:mergeCells count="1">
    <ns0:mergeCell ref="A1:D1"/>
  </ns0:mergeCells>
  <ns0:pageMargins left="0.75" right="0.75" top="1" bottom="1" header="0.5" footer="0.5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72" customHeight="1"/>
  <cols>
    <col width="28" customWidth="1" min="1" max="1"/>
    <col width="26" customWidth="1" min="2" max="2"/>
    <col width="34" customWidth="1" min="3" max="3"/>
  </cols>
  <sheetData>
    <row r="1" ht="72" customHeight="1">
      <c r="A1" s="7" t="inlineStr">
        <is>
          <t>截图</t>
        </is>
      </c>
      <c r="B1" s="7" t="inlineStr">
        <is>
          <t>图集名称</t>
        </is>
      </c>
      <c r="C1" s="7" t="inlineStr">
        <is>
          <t>图片名称</t>
        </is>
      </c>
    </row>
    <row r="2" ht="72" customHeight="1">
      <c r="A2" s="8" t="inlineStr">
        <is>
          <t>插入截图</t>
        </is>
      </c>
      <c r="B2" s="9" t="inlineStr">
        <is>
          <t>待补充</t>
        </is>
      </c>
      <c r="C2" s="9" t="inlineStr">
        <is>
          <t>待补充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2026-07-21T06:17:53Z</dcterms:created>
  <dcterms:modified xmlns:dcterms="http://purl.org/dc/terms/" xmlns:xsi="http://www.w3.org/2001/XMLSchema-instance" xsi:type="dcterms:W3CDTF">2026-07-21T06:17:53Z</dcterms:modified>
</cp:coreProperties>
</file>